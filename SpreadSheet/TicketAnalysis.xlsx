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vni\next\project\New folder\"/>
    </mc:Choice>
  </mc:AlternateContent>
  <xr:revisionPtr revIDLastSave="0" documentId="13_ncr:1_{72F0A50B-1630-44D6-ACBF-5FDCE4E75789}" xr6:coauthVersionLast="47" xr6:coauthVersionMax="47" xr10:uidLastSave="{00000000-0000-0000-0000-000000000000}"/>
  <bookViews>
    <workbookView xWindow="-108" yWindow="-108" windowWidth="23256" windowHeight="12456" activeTab="2" xr2:uid="{FCFB89FC-3636-4891-8942-4E9F471181CE}"/>
  </bookViews>
  <sheets>
    <sheet name="Ticket" sheetId="1" r:id="rId1"/>
    <sheet name="Feedback" sheetId="2" r:id="rId2"/>
    <sheet name="Summar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C4" i="5"/>
  <c r="C5" i="5"/>
  <c r="C6" i="5"/>
  <c r="C8" i="5"/>
  <c r="C9" i="5"/>
  <c r="C10" i="5"/>
  <c r="C11" i="5"/>
  <c r="C12" i="5"/>
  <c r="C13" i="5"/>
  <c r="C14" i="5"/>
  <c r="C15" i="5"/>
  <c r="C2" i="5"/>
  <c r="B4" i="5"/>
  <c r="B5" i="5"/>
  <c r="B6" i="5"/>
  <c r="B8" i="5"/>
  <c r="B9" i="5"/>
  <c r="B10" i="5"/>
  <c r="B11" i="5"/>
  <c r="B12" i="5"/>
  <c r="B13" i="5"/>
  <c r="B14" i="5"/>
  <c r="B15" i="5"/>
  <c r="B2" i="5"/>
  <c r="G3" i="1"/>
  <c r="C3" i="5" s="1"/>
  <c r="G4" i="1"/>
  <c r="G5" i="1"/>
  <c r="G6" i="1"/>
  <c r="G7" i="1"/>
  <c r="C7" i="5" s="1"/>
  <c r="G8" i="1"/>
  <c r="G9" i="1"/>
  <c r="G10" i="1"/>
  <c r="G11" i="1"/>
  <c r="G12" i="1"/>
  <c r="G13" i="1"/>
  <c r="G14" i="1"/>
  <c r="G15" i="1"/>
  <c r="F3" i="1"/>
  <c r="B3" i="5" s="1"/>
  <c r="F4" i="1"/>
  <c r="F5" i="1"/>
  <c r="F6" i="1"/>
  <c r="F7" i="1"/>
  <c r="B7" i="5" s="1"/>
  <c r="F8" i="1"/>
  <c r="F9" i="1"/>
  <c r="F10" i="1"/>
  <c r="F11" i="1"/>
  <c r="F12" i="1"/>
  <c r="F13" i="1"/>
  <c r="F14" i="1"/>
  <c r="F15" i="1"/>
  <c r="F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2" i="2"/>
</calcChain>
</file>

<file path=xl/sharedStrings.xml><?xml version="1.0" encoding="utf-8"?>
<sst xmlns="http://schemas.openxmlformats.org/spreadsheetml/2006/main" count="84" uniqueCount="54">
  <si>
    <t>ticket_id</t>
  </si>
  <si>
    <t>created_at</t>
  </si>
  <si>
    <t>closed_at</t>
  </si>
  <si>
    <t>outlet_id</t>
  </si>
  <si>
    <t>cms_id</t>
  </si>
  <si>
    <t>t1</t>
  </si>
  <si>
    <t>o1</t>
  </si>
  <si>
    <t>c1</t>
  </si>
  <si>
    <t>t2</t>
  </si>
  <si>
    <t>o2</t>
  </si>
  <si>
    <t>c2</t>
  </si>
  <si>
    <t>t3</t>
  </si>
  <si>
    <t>o3</t>
  </si>
  <si>
    <t>c3</t>
  </si>
  <si>
    <t>t4</t>
  </si>
  <si>
    <t>o4</t>
  </si>
  <si>
    <t>c4</t>
  </si>
  <si>
    <t>t5</t>
  </si>
  <si>
    <t>o5</t>
  </si>
  <si>
    <t>c5</t>
  </si>
  <si>
    <t>t6</t>
  </si>
  <si>
    <t>o6</t>
  </si>
  <si>
    <t>c6</t>
  </si>
  <si>
    <t>t7</t>
  </si>
  <si>
    <t>o7</t>
  </si>
  <si>
    <t>c7</t>
  </si>
  <si>
    <t>t8</t>
  </si>
  <si>
    <t>o8</t>
  </si>
  <si>
    <t>c8</t>
  </si>
  <si>
    <t>t9</t>
  </si>
  <si>
    <t>o9</t>
  </si>
  <si>
    <t>c9</t>
  </si>
  <si>
    <t>t10</t>
  </si>
  <si>
    <t>o10</t>
  </si>
  <si>
    <t>c10</t>
  </si>
  <si>
    <t>t11</t>
  </si>
  <si>
    <t>o11</t>
  </si>
  <si>
    <t>c11</t>
  </si>
  <si>
    <t>t12</t>
  </si>
  <si>
    <t>o12</t>
  </si>
  <si>
    <t>c12</t>
  </si>
  <si>
    <t>t13</t>
  </si>
  <si>
    <t>o13</t>
  </si>
  <si>
    <t>c13</t>
  </si>
  <si>
    <t>t14</t>
  </si>
  <si>
    <t>o14</t>
  </si>
  <si>
    <t>c14</t>
  </si>
  <si>
    <t>feedback_at</t>
  </si>
  <si>
    <t>rating</t>
  </si>
  <si>
    <t>ticket_created_at</t>
  </si>
  <si>
    <t>same_day</t>
  </si>
  <si>
    <t>same_hour</t>
  </si>
  <si>
    <t>Sameday count</t>
  </si>
  <si>
    <t>same hour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</si>
</sst>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22" fontId="0" fillId="0" borderId="0" xfId="0" applyNumberFormat="1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756D-5E78-4E39-9220-67E038748405}">
  <dimension ref="A1:G15"/>
  <sheetViews>
    <sheetView workbookViewId="0">
      <selection activeCell="C22" sqref="C22"/>
    </sheetView>
  </sheetViews>
  <sheetFormatPr defaultRowHeight="14.4" x14ac:dyDescent="0.3"/>
  <cols>
    <col min="1" max="1" width="15.77734375" customWidth="1"/>
    <col min="2" max="2" width="22.88671875" customWidth="1"/>
    <col min="3" max="3" width="19.6640625" customWidth="1"/>
    <col min="4" max="4" width="15.5546875" customWidth="1"/>
    <col min="6" max="6" width="14.5546875" customWidth="1"/>
    <col min="7" max="7" width="13.2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51</v>
      </c>
    </row>
    <row r="2" spans="1:7" x14ac:dyDescent="0.3">
      <c r="A2" s="1" t="s">
        <v>5</v>
      </c>
      <c r="B2" s="2">
        <v>44427.697916666664</v>
      </c>
      <c r="C2" s="2">
        <v>44427.822916666664</v>
      </c>
      <c r="D2" s="1" t="s">
        <v>6</v>
      </c>
      <c r="E2" s="1" t="s">
        <v>7</v>
      </c>
      <c r="F2" t="b">
        <f>INT(B2) = INT(C2)</f>
        <v>1</v>
      </c>
      <c r="G2" t="b">
        <f>LEFT(B2,13)=LEFT(C2,13)</f>
        <v>0</v>
      </c>
    </row>
    <row r="3" spans="1:7" x14ac:dyDescent="0.3">
      <c r="A3" s="1" t="s">
        <v>8</v>
      </c>
      <c r="B3" s="2">
        <v>44429.822916666664</v>
      </c>
      <c r="C3" s="2">
        <v>44430.947916666664</v>
      </c>
      <c r="D3" s="1" t="s">
        <v>9</v>
      </c>
      <c r="E3" s="1" t="s">
        <v>10</v>
      </c>
      <c r="F3" t="b">
        <f t="shared" ref="F3:F15" si="0">INT(B3) = INT(C3)</f>
        <v>0</v>
      </c>
      <c r="G3" t="b">
        <f t="shared" ref="G3:G15" si="1">AND(INT(B3)=INT(C3), HOUR(B3)=HOUR(C3))</f>
        <v>0</v>
      </c>
    </row>
    <row r="4" spans="1:7" x14ac:dyDescent="0.3">
      <c r="A4" s="1" t="s">
        <v>11</v>
      </c>
      <c r="B4" s="2">
        <v>44429.865972222222</v>
      </c>
      <c r="C4" s="2">
        <v>44429.992361111108</v>
      </c>
      <c r="D4" s="1" t="s">
        <v>12</v>
      </c>
      <c r="E4" s="1" t="s">
        <v>13</v>
      </c>
      <c r="F4" t="b">
        <f t="shared" si="0"/>
        <v>1</v>
      </c>
      <c r="G4" t="b">
        <f t="shared" si="1"/>
        <v>0</v>
      </c>
    </row>
    <row r="5" spans="1:7" x14ac:dyDescent="0.3">
      <c r="A5" s="1" t="s">
        <v>14</v>
      </c>
      <c r="B5" s="2">
        <v>44430.28125</v>
      </c>
      <c r="C5" s="2">
        <v>44430.479166666664</v>
      </c>
      <c r="D5" s="1" t="s">
        <v>15</v>
      </c>
      <c r="E5" s="1" t="s">
        <v>16</v>
      </c>
      <c r="F5" t="b">
        <f t="shared" si="0"/>
        <v>1</v>
      </c>
      <c r="G5" t="b">
        <f t="shared" si="1"/>
        <v>0</v>
      </c>
    </row>
    <row r="6" spans="1:7" x14ac:dyDescent="0.3">
      <c r="A6" s="1" t="s">
        <v>17</v>
      </c>
      <c r="B6" s="2">
        <v>44431.224305555559</v>
      </c>
      <c r="C6" s="2">
        <v>44431.53125</v>
      </c>
      <c r="D6" s="1" t="s">
        <v>18</v>
      </c>
      <c r="E6" s="1" t="s">
        <v>19</v>
      </c>
      <c r="F6" t="b">
        <f t="shared" si="0"/>
        <v>1</v>
      </c>
      <c r="G6" t="b">
        <f t="shared" si="1"/>
        <v>0</v>
      </c>
    </row>
    <row r="7" spans="1:7" x14ac:dyDescent="0.3">
      <c r="A7" s="1" t="s">
        <v>20</v>
      </c>
      <c r="B7" s="2">
        <v>44432.697916608799</v>
      </c>
      <c r="C7" s="2">
        <v>44432.704861111109</v>
      </c>
      <c r="D7" s="1" t="s">
        <v>21</v>
      </c>
      <c r="E7" s="1" t="s">
        <v>22</v>
      </c>
      <c r="F7" t="b">
        <f t="shared" si="0"/>
        <v>1</v>
      </c>
      <c r="G7" t="b">
        <f t="shared" si="1"/>
        <v>1</v>
      </c>
    </row>
    <row r="8" spans="1:7" x14ac:dyDescent="0.3">
      <c r="A8" s="1" t="s">
        <v>23</v>
      </c>
      <c r="B8" s="2">
        <v>44433.814583333333</v>
      </c>
      <c r="C8" s="2">
        <v>44433.989583333336</v>
      </c>
      <c r="D8" s="1" t="s">
        <v>24</v>
      </c>
      <c r="E8" s="1" t="s">
        <v>25</v>
      </c>
      <c r="F8" t="b">
        <f t="shared" si="0"/>
        <v>1</v>
      </c>
      <c r="G8" t="b">
        <f t="shared" si="1"/>
        <v>0</v>
      </c>
    </row>
    <row r="9" spans="1:7" x14ac:dyDescent="0.3">
      <c r="A9" s="1" t="s">
        <v>26</v>
      </c>
      <c r="B9" s="2">
        <v>44434.114583333336</v>
      </c>
      <c r="C9" s="2">
        <v>44434.246527777781</v>
      </c>
      <c r="D9" s="1" t="s">
        <v>27</v>
      </c>
      <c r="E9" s="1" t="s">
        <v>28</v>
      </c>
      <c r="F9" t="b">
        <f t="shared" si="0"/>
        <v>1</v>
      </c>
      <c r="G9" t="b">
        <f t="shared" si="1"/>
        <v>0</v>
      </c>
    </row>
    <row r="10" spans="1:7" x14ac:dyDescent="0.3">
      <c r="A10" s="1" t="s">
        <v>29</v>
      </c>
      <c r="B10" s="2">
        <v>44435.697916608799</v>
      </c>
      <c r="C10" s="2">
        <v>44435.732638888891</v>
      </c>
      <c r="D10" s="1" t="s">
        <v>30</v>
      </c>
      <c r="E10" s="1" t="s">
        <v>31</v>
      </c>
      <c r="F10" t="b">
        <f t="shared" si="0"/>
        <v>1</v>
      </c>
      <c r="G10" t="b">
        <f t="shared" si="1"/>
        <v>0</v>
      </c>
    </row>
    <row r="11" spans="1:7" x14ac:dyDescent="0.3">
      <c r="A11" s="1" t="s">
        <v>32</v>
      </c>
      <c r="B11" s="2">
        <v>44436.46597222222</v>
      </c>
      <c r="C11" s="2">
        <v>44436.697916608799</v>
      </c>
      <c r="D11" s="1" t="s">
        <v>33</v>
      </c>
      <c r="E11" s="1" t="s">
        <v>34</v>
      </c>
      <c r="F11" t="b">
        <f t="shared" si="0"/>
        <v>1</v>
      </c>
      <c r="G11" t="b">
        <f t="shared" si="1"/>
        <v>0</v>
      </c>
    </row>
    <row r="12" spans="1:7" x14ac:dyDescent="0.3">
      <c r="A12" s="1" t="s">
        <v>35</v>
      </c>
      <c r="B12" s="2">
        <v>44437.709722222222</v>
      </c>
      <c r="C12" s="2">
        <v>44437.934027777781</v>
      </c>
      <c r="D12" s="1" t="s">
        <v>36</v>
      </c>
      <c r="E12" s="1" t="s">
        <v>37</v>
      </c>
      <c r="F12" t="b">
        <f t="shared" si="0"/>
        <v>1</v>
      </c>
      <c r="G12" t="b">
        <f t="shared" si="1"/>
        <v>0</v>
      </c>
    </row>
    <row r="13" spans="1:7" x14ac:dyDescent="0.3">
      <c r="A13" s="1" t="s">
        <v>38</v>
      </c>
      <c r="B13" s="2">
        <v>44438.348611111112</v>
      </c>
      <c r="C13" s="2">
        <v>44438.697916608799</v>
      </c>
      <c r="D13" s="1" t="s">
        <v>39</v>
      </c>
      <c r="E13" s="1" t="s">
        <v>40</v>
      </c>
      <c r="F13" t="b">
        <f t="shared" si="0"/>
        <v>1</v>
      </c>
      <c r="G13" t="b">
        <f t="shared" si="1"/>
        <v>0</v>
      </c>
    </row>
    <row r="14" spans="1:7" x14ac:dyDescent="0.3">
      <c r="A14" s="1" t="s">
        <v>41</v>
      </c>
      <c r="B14" s="2">
        <v>44439.197916666664</v>
      </c>
      <c r="C14" s="2">
        <v>44439.260416666664</v>
      </c>
      <c r="D14" s="1" t="s">
        <v>42</v>
      </c>
      <c r="E14" s="1" t="s">
        <v>43</v>
      </c>
      <c r="F14" t="b">
        <f t="shared" si="0"/>
        <v>1</v>
      </c>
      <c r="G14" t="b">
        <f t="shared" si="1"/>
        <v>0</v>
      </c>
    </row>
    <row r="15" spans="1:7" x14ac:dyDescent="0.3">
      <c r="A15" s="1" t="s">
        <v>44</v>
      </c>
      <c r="B15" s="2">
        <v>44440.621527777781</v>
      </c>
      <c r="C15" s="2">
        <v>44440.697916608799</v>
      </c>
      <c r="D15" s="1" t="s">
        <v>45</v>
      </c>
      <c r="E15" s="1" t="s">
        <v>46</v>
      </c>
      <c r="F15" t="b">
        <f t="shared" si="0"/>
        <v>1</v>
      </c>
      <c r="G15" t="b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0436-5DA7-4C93-8668-EA62627D0A40}">
  <dimension ref="A1:D15"/>
  <sheetViews>
    <sheetView workbookViewId="0">
      <selection activeCell="E16" sqref="E16"/>
    </sheetView>
  </sheetViews>
  <sheetFormatPr defaultRowHeight="14.4" x14ac:dyDescent="0.3"/>
  <cols>
    <col min="1" max="1" width="13.6640625" customWidth="1"/>
    <col min="2" max="2" width="16.6640625" customWidth="1"/>
    <col min="4" max="4" width="20.109375" style="3" customWidth="1"/>
  </cols>
  <sheetData>
    <row r="1" spans="1:4" x14ac:dyDescent="0.3">
      <c r="A1" t="s">
        <v>4</v>
      </c>
      <c r="B1" t="s">
        <v>47</v>
      </c>
      <c r="C1" t="s">
        <v>48</v>
      </c>
      <c r="D1" s="3" t="s">
        <v>49</v>
      </c>
    </row>
    <row r="2" spans="1:4" x14ac:dyDescent="0.3">
      <c r="A2" t="s">
        <v>7</v>
      </c>
      <c r="B2" s="3">
        <v>44429.55972222222</v>
      </c>
      <c r="C2">
        <v>3</v>
      </c>
      <c r="D2" s="3">
        <f>_xlfn.XLOOKUP(A2, Ticket!E:E, Ticket!B:B)</f>
        <v>44427.697916666664</v>
      </c>
    </row>
    <row r="3" spans="1:4" x14ac:dyDescent="0.3">
      <c r="A3" t="s">
        <v>10</v>
      </c>
      <c r="B3" s="3">
        <v>44430.416666666664</v>
      </c>
      <c r="C3">
        <v>4</v>
      </c>
      <c r="D3" s="3">
        <f>_xlfn.XLOOKUP(A3, Ticket!E:E, Ticket!B:B)</f>
        <v>44429.822916666664</v>
      </c>
    </row>
    <row r="4" spans="1:4" x14ac:dyDescent="0.3">
      <c r="A4" t="s">
        <v>13</v>
      </c>
      <c r="B4" s="3">
        <v>44429.458333333336</v>
      </c>
      <c r="C4">
        <v>5</v>
      </c>
      <c r="D4" s="3">
        <f>_xlfn.XLOOKUP(A4, Ticket!E:E, Ticket!B:B)</f>
        <v>44429.865972222222</v>
      </c>
    </row>
    <row r="5" spans="1:4" x14ac:dyDescent="0.3">
      <c r="A5" t="s">
        <v>16</v>
      </c>
      <c r="B5" s="3">
        <v>44430.5</v>
      </c>
      <c r="C5">
        <v>2</v>
      </c>
      <c r="D5" s="3">
        <f>_xlfn.XLOOKUP(A5, Ticket!E:E, Ticket!B:B)</f>
        <v>44430.28125</v>
      </c>
    </row>
    <row r="6" spans="1:4" x14ac:dyDescent="0.3">
      <c r="A6" t="s">
        <v>19</v>
      </c>
      <c r="B6" s="3">
        <v>44431.069444444445</v>
      </c>
      <c r="C6">
        <v>5</v>
      </c>
      <c r="D6" s="3">
        <f>_xlfn.XLOOKUP(A6, Ticket!E:E, Ticket!B:B)</f>
        <v>44431.224305555559</v>
      </c>
    </row>
    <row r="7" spans="1:4" x14ac:dyDescent="0.3">
      <c r="A7" t="s">
        <v>22</v>
      </c>
      <c r="B7" s="3">
        <v>44432.166666666664</v>
      </c>
      <c r="C7">
        <v>3</v>
      </c>
      <c r="D7" s="3">
        <f>_xlfn.XLOOKUP(A7, Ticket!E:E, Ticket!B:B)</f>
        <v>44432.697916608799</v>
      </c>
    </row>
    <row r="8" spans="1:4" x14ac:dyDescent="0.3">
      <c r="A8" t="s">
        <v>25</v>
      </c>
      <c r="B8" s="3">
        <v>44433.489583333336</v>
      </c>
      <c r="C8">
        <v>4</v>
      </c>
      <c r="D8" s="3">
        <f>_xlfn.XLOOKUP(A8, Ticket!E:E, Ticket!B:B)</f>
        <v>44433.814583333333</v>
      </c>
    </row>
    <row r="9" spans="1:4" x14ac:dyDescent="0.3">
      <c r="A9" t="s">
        <v>28</v>
      </c>
      <c r="B9" s="3">
        <v>44434.598611111112</v>
      </c>
      <c r="C9">
        <v>2</v>
      </c>
      <c r="D9" s="3">
        <f>_xlfn.XLOOKUP(A9, Ticket!E:E, Ticket!B:B)</f>
        <v>44434.114583333336</v>
      </c>
    </row>
    <row r="10" spans="1:4" x14ac:dyDescent="0.3">
      <c r="A10" t="s">
        <v>31</v>
      </c>
      <c r="B10" s="3">
        <v>44435.881944444445</v>
      </c>
      <c r="C10">
        <v>5</v>
      </c>
      <c r="D10" s="3">
        <f>_xlfn.XLOOKUP(A10, Ticket!E:E, Ticket!B:B)</f>
        <v>44435.697916608799</v>
      </c>
    </row>
    <row r="11" spans="1:4" x14ac:dyDescent="0.3">
      <c r="A11" t="s">
        <v>34</v>
      </c>
      <c r="B11" s="3">
        <v>44436.458333333336</v>
      </c>
      <c r="C11">
        <v>3</v>
      </c>
      <c r="D11" s="3">
        <f>_xlfn.XLOOKUP(A11, Ticket!E:E, Ticket!B:B)</f>
        <v>44436.46597222222</v>
      </c>
    </row>
    <row r="12" spans="1:4" x14ac:dyDescent="0.3">
      <c r="A12" t="s">
        <v>37</v>
      </c>
      <c r="B12" s="3">
        <v>44437.472916666666</v>
      </c>
      <c r="C12">
        <v>5</v>
      </c>
      <c r="D12" s="3">
        <f>_xlfn.XLOOKUP(A12, Ticket!E:E, Ticket!B:B)</f>
        <v>44437.709722222222</v>
      </c>
    </row>
    <row r="13" spans="1:4" x14ac:dyDescent="0.3">
      <c r="A13" t="s">
        <v>40</v>
      </c>
      <c r="B13" s="3">
        <v>44438.631944444445</v>
      </c>
      <c r="C13">
        <v>4</v>
      </c>
      <c r="D13" s="3">
        <f>_xlfn.XLOOKUP(A13, Ticket!E:E, Ticket!B:B)</f>
        <v>44438.348611111112</v>
      </c>
    </row>
    <row r="14" spans="1:4" x14ac:dyDescent="0.3">
      <c r="A14" t="s">
        <v>43</v>
      </c>
      <c r="B14" s="3">
        <v>44439.46597222222</v>
      </c>
      <c r="C14">
        <v>5</v>
      </c>
      <c r="D14" s="3">
        <f>_xlfn.XLOOKUP(A14, Ticket!E:E, Ticket!B:B)</f>
        <v>44439.197916666664</v>
      </c>
    </row>
    <row r="15" spans="1:4" x14ac:dyDescent="0.3">
      <c r="A15" t="s">
        <v>46</v>
      </c>
      <c r="B15" s="3">
        <v>44440.444444444445</v>
      </c>
      <c r="C15">
        <v>3</v>
      </c>
      <c r="D15" s="3">
        <f>_xlfn.XLOOKUP(A15, Ticket!E:E, Ticket!B:B)</f>
        <v>44440.621527777781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7F89-DD65-4B0B-9300-9160A7C27BFC}">
  <dimension ref="A1:C15"/>
  <sheetViews>
    <sheetView tabSelected="1" workbookViewId="0">
      <selection activeCell="T4" sqref="T4"/>
    </sheetView>
  </sheetViews>
  <sheetFormatPr defaultRowHeight="14.4" x14ac:dyDescent="0.3"/>
  <cols>
    <col min="2" max="2" width="15.5546875" customWidth="1"/>
    <col min="3" max="3" width="16.5546875" customWidth="1"/>
  </cols>
  <sheetData>
    <row r="1" spans="1:3" x14ac:dyDescent="0.3">
      <c r="A1" s="4" t="s">
        <v>3</v>
      </c>
      <c r="B1" s="5" t="s">
        <v>52</v>
      </c>
      <c r="C1" s="4" t="s">
        <v>53</v>
      </c>
    </row>
    <row r="2" spans="1:3" x14ac:dyDescent="0.3">
      <c r="A2" t="s">
        <v>6</v>
      </c>
      <c r="B2">
        <f>COUNTIFS(Ticket!D:D, A2, Ticket!F:F, TRUE)</f>
        <v>1</v>
      </c>
      <c r="C2">
        <f>COUNTIFS(Ticket!D:D, A2, Ticket!G:G, TRUE)</f>
        <v>0</v>
      </c>
    </row>
    <row r="3" spans="1:3" x14ac:dyDescent="0.3">
      <c r="A3" t="s">
        <v>9</v>
      </c>
      <c r="B3">
        <f>COUNTIFS(Ticket!D:D, A3, Ticket!F:F, TRUE)</f>
        <v>0</v>
      </c>
      <c r="C3">
        <f>COUNTIFS(Ticket!D:D, A3, Ticket!G:G, TRUE)</f>
        <v>0</v>
      </c>
    </row>
    <row r="4" spans="1:3" x14ac:dyDescent="0.3">
      <c r="A4" t="s">
        <v>12</v>
      </c>
      <c r="B4">
        <f>COUNTIFS(Ticket!D:D, A4, Ticket!F:F, TRUE)</f>
        <v>1</v>
      </c>
      <c r="C4">
        <f>COUNTIFS(Ticket!D:D, A4, Ticket!G:G, TRUE)</f>
        <v>0</v>
      </c>
    </row>
    <row r="5" spans="1:3" x14ac:dyDescent="0.3">
      <c r="A5" t="s">
        <v>15</v>
      </c>
      <c r="B5">
        <f>COUNTIFS(Ticket!D:D, A5, Ticket!F:F, TRUE)</f>
        <v>1</v>
      </c>
      <c r="C5">
        <f>COUNTIFS(Ticket!D:D, A5, Ticket!G:G, TRUE)</f>
        <v>0</v>
      </c>
    </row>
    <row r="6" spans="1:3" x14ac:dyDescent="0.3">
      <c r="A6" t="s">
        <v>18</v>
      </c>
      <c r="B6">
        <f>COUNTIFS(Ticket!D:D, A6, Ticket!F:F, TRUE)</f>
        <v>1</v>
      </c>
      <c r="C6">
        <f>COUNTIFS(Ticket!D:D, A6, Ticket!G:G, TRUE)</f>
        <v>0</v>
      </c>
    </row>
    <row r="7" spans="1:3" x14ac:dyDescent="0.3">
      <c r="A7" t="s">
        <v>21</v>
      </c>
      <c r="B7">
        <f>COUNTIFS(Ticket!D:D, A7, Ticket!F:F, TRUE)</f>
        <v>1</v>
      </c>
      <c r="C7">
        <f>COUNTIFS(Ticket!D:D, A7, Ticket!G:G, TRUE)</f>
        <v>1</v>
      </c>
    </row>
    <row r="8" spans="1:3" x14ac:dyDescent="0.3">
      <c r="A8" t="s">
        <v>24</v>
      </c>
      <c r="B8">
        <f>COUNTIFS(Ticket!D:D, A8, Ticket!F:F, TRUE)</f>
        <v>1</v>
      </c>
      <c r="C8">
        <f>COUNTIFS(Ticket!D:D, A8, Ticket!G:G, TRUE)</f>
        <v>0</v>
      </c>
    </row>
    <row r="9" spans="1:3" x14ac:dyDescent="0.3">
      <c r="A9" t="s">
        <v>27</v>
      </c>
      <c r="B9">
        <f>COUNTIFS(Ticket!D:D, A9, Ticket!F:F, TRUE)</f>
        <v>1</v>
      </c>
      <c r="C9">
        <f>COUNTIFS(Ticket!D:D, A9, Ticket!G:G, TRUE)</f>
        <v>0</v>
      </c>
    </row>
    <row r="10" spans="1:3" x14ac:dyDescent="0.3">
      <c r="A10" t="s">
        <v>30</v>
      </c>
      <c r="B10">
        <f>COUNTIFS(Ticket!D:D, A10, Ticket!F:F, TRUE)</f>
        <v>1</v>
      </c>
      <c r="C10">
        <f>COUNTIFS(Ticket!D:D, A10, Ticket!G:G, TRUE)</f>
        <v>0</v>
      </c>
    </row>
    <row r="11" spans="1:3" x14ac:dyDescent="0.3">
      <c r="A11" t="s">
        <v>33</v>
      </c>
      <c r="B11">
        <f>COUNTIFS(Ticket!D:D, A11, Ticket!F:F, TRUE)</f>
        <v>1</v>
      </c>
      <c r="C11">
        <f>COUNTIFS(Ticket!D:D, A11, Ticket!G:G, TRUE)</f>
        <v>0</v>
      </c>
    </row>
    <row r="12" spans="1:3" x14ac:dyDescent="0.3">
      <c r="A12" t="s">
        <v>36</v>
      </c>
      <c r="B12">
        <f>COUNTIFS(Ticket!D:D, A12, Ticket!F:F, TRUE)</f>
        <v>1</v>
      </c>
      <c r="C12">
        <f>COUNTIFS(Ticket!D:D, A12, Ticket!G:G, TRUE)</f>
        <v>0</v>
      </c>
    </row>
    <row r="13" spans="1:3" x14ac:dyDescent="0.3">
      <c r="A13" t="s">
        <v>39</v>
      </c>
      <c r="B13">
        <f>COUNTIFS(Ticket!D:D, A13, Ticket!F:F, TRUE)</f>
        <v>1</v>
      </c>
      <c r="C13">
        <f>COUNTIFS(Ticket!D:D, A13, Ticket!G:G, TRUE)</f>
        <v>0</v>
      </c>
    </row>
    <row r="14" spans="1:3" x14ac:dyDescent="0.3">
      <c r="A14" t="s">
        <v>42</v>
      </c>
      <c r="B14">
        <f>COUNTIFS(Ticket!D:D, A14, Ticket!F:F, TRUE)</f>
        <v>1</v>
      </c>
      <c r="C14">
        <f>COUNTIFS(Ticket!D:D, A14, Ticket!G:G, TRUE)</f>
        <v>0</v>
      </c>
    </row>
    <row r="15" spans="1:3" x14ac:dyDescent="0.3">
      <c r="A15" t="s">
        <v>45</v>
      </c>
      <c r="B15">
        <f>COUNTIFS(Ticket!D:D, A15, Ticket!F:F, TRUE)</f>
        <v>1</v>
      </c>
      <c r="C15">
        <f>COUNTIFS(Ticket!D:D, A15, Ticket!G:G, TRUE)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joshi</dc:creator>
  <cp:lastModifiedBy>Vinayak joshi</cp:lastModifiedBy>
  <dcterms:created xsi:type="dcterms:W3CDTF">2026-04-09T05:19:11Z</dcterms:created>
  <dcterms:modified xsi:type="dcterms:W3CDTF">2026-04-09T06:21:37Z</dcterms:modified>
</cp:coreProperties>
</file>